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Graduate Courses\PHPH 7990\Data\"/>
    </mc:Choice>
  </mc:AlternateContent>
  <xr:revisionPtr revIDLastSave="0" documentId="13_ncr:1_{5C21923B-58F0-4FBC-80D1-D2B6B29C7DFE}" xr6:coauthVersionLast="47" xr6:coauthVersionMax="47" xr10:uidLastSave="{00000000-0000-0000-0000-000000000000}"/>
  <bookViews>
    <workbookView xWindow="-110" yWindow="-110" windowWidth="22780" windowHeight="14540" firstSheet="1" activeTab="3" xr2:uid="{00000000-000D-0000-FFFF-FFFF00000000}"/>
  </bookViews>
  <sheets>
    <sheet name="Descriptive Statistics" sheetId="6" r:id="rId1"/>
    <sheet name="Model Fit Indices" sheetId="4" r:id="rId2"/>
    <sheet name="Factor Loadings" sheetId="1" r:id="rId3"/>
    <sheet name="Paths" sheetId="3" r:id="rId4"/>
    <sheet name="R-Squar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6" l="1"/>
  <c r="O8" i="6"/>
  <c r="O4" i="6"/>
  <c r="O13" i="6"/>
  <c r="P13" i="6"/>
  <c r="P10" i="6"/>
  <c r="P8" i="6"/>
  <c r="P4" i="6"/>
  <c r="I5" i="1"/>
  <c r="J7" i="1"/>
  <c r="I7" i="1"/>
  <c r="J6" i="1"/>
  <c r="I6" i="1"/>
  <c r="J5" i="1"/>
</calcChain>
</file>

<file path=xl/sharedStrings.xml><?xml version="1.0" encoding="utf-8"?>
<sst xmlns="http://schemas.openxmlformats.org/spreadsheetml/2006/main" count="220" uniqueCount="131">
  <si>
    <t>Construct</t>
  </si>
  <si>
    <t>Indicator</t>
  </si>
  <si>
    <t>SE</t>
  </si>
  <si>
    <t>p-value</t>
  </si>
  <si>
    <t>Fit Index</t>
  </si>
  <si>
    <t>Value</t>
  </si>
  <si>
    <t>Threshold</t>
  </si>
  <si>
    <t>Interpretation</t>
  </si>
  <si>
    <t>CFI</t>
  </si>
  <si>
    <t>Excellent fit</t>
  </si>
  <si>
    <t>TLI</t>
  </si>
  <si>
    <t>RMSEA</t>
  </si>
  <si>
    <t>SRMR</t>
  </si>
  <si>
    <t>Acceptable fit</t>
  </si>
  <si>
    <t>&lt; .05</t>
  </si>
  <si>
    <t>S.E.</t>
  </si>
  <si>
    <t>Standardized Factor Loadings for CFA Model</t>
  </si>
  <si>
    <t>Global Fit Indices for CFA Model</t>
  </si>
  <si>
    <t>Model χ² (df)</t>
  </si>
  <si>
    <t>RMSEA 90% CI</t>
  </si>
  <si>
    <t>β</t>
  </si>
  <si>
    <t>CR</t>
  </si>
  <si>
    <t>AVE</t>
  </si>
  <si>
    <t>Estimate</t>
  </si>
  <si>
    <t>Latent Variable</t>
  </si>
  <si>
    <t>Two-Tailed P-Value</t>
  </si>
  <si>
    <t>Observed Variable</t>
  </si>
  <si>
    <t>Good Fit</t>
  </si>
  <si>
    <t>-</t>
  </si>
  <si>
    <t>Variable</t>
  </si>
  <si>
    <t>Category</t>
  </si>
  <si>
    <t>Count</t>
  </si>
  <si>
    <t>gender</t>
  </si>
  <si>
    <t>race</t>
  </si>
  <si>
    <t>grade</t>
  </si>
  <si>
    <t>Scale</t>
  </si>
  <si>
    <t>Male</t>
  </si>
  <si>
    <t>Female</t>
  </si>
  <si>
    <t>White</t>
  </si>
  <si>
    <t>Black</t>
  </si>
  <si>
    <t>Hispanic</t>
  </si>
  <si>
    <t>8th</t>
  </si>
  <si>
    <t>10th</t>
  </si>
  <si>
    <t>No Parents</t>
  </si>
  <si>
    <t>Father Only</t>
  </si>
  <si>
    <t xml:space="preserve">Mother Only </t>
  </si>
  <si>
    <t>Both Parents</t>
  </si>
  <si>
    <t>Not Smoking</t>
  </si>
  <si>
    <t>Current Smoker</t>
  </si>
  <si>
    <t>Ad Exposure</t>
  </si>
  <si>
    <t>No Ad Exposure</t>
  </si>
  <si>
    <t>Constructs</t>
  </si>
  <si>
    <t>Definitely Yes</t>
  </si>
  <si>
    <t>Probably Yes</t>
  </si>
  <si>
    <t>Probably Not</t>
  </si>
  <si>
    <t>Definitely Not</t>
  </si>
  <si>
    <t>I Definitely Will</t>
  </si>
  <si>
    <t>I Definitely Will Not</t>
  </si>
  <si>
    <t>I Probably Will</t>
  </si>
  <si>
    <t>I Probably Will Not</t>
  </si>
  <si>
    <t>No Risk</t>
  </si>
  <si>
    <t>Slight Risk</t>
  </si>
  <si>
    <t>Moderate Risk</t>
  </si>
  <si>
    <t>Great Risk</t>
  </si>
  <si>
    <t>Strongly Disapprove</t>
  </si>
  <si>
    <t>Disapprove</t>
  </si>
  <si>
    <t>Not Disapprove</t>
  </si>
  <si>
    <t>None</t>
  </si>
  <si>
    <t>A Few</t>
  </si>
  <si>
    <t>Some</t>
  </si>
  <si>
    <t>Most</t>
  </si>
  <si>
    <t>All</t>
  </si>
  <si>
    <t>Proportion (%)</t>
  </si>
  <si>
    <t>Anti-Smoking Ad Exposure</t>
  </si>
  <si>
    <t>Conclusion (CR &gt; 0.70  and AVE &gt; 0.50)</t>
  </si>
  <si>
    <t>Excellent reliable and internally consistency</t>
  </si>
  <si>
    <t>Excellent reliable and internally consistency.</t>
  </si>
  <si>
    <t>Sample Size</t>
  </si>
  <si>
    <t>parental presence</t>
  </si>
  <si>
    <t>1086.447 (58, 0.00)</t>
  </si>
  <si>
    <r>
      <t>≥</t>
    </r>
    <r>
      <rPr>
        <sz val="11"/>
        <color rgb="FF000000"/>
        <rFont val="Calibri"/>
        <family val="2"/>
        <scheme val="minor"/>
      </rPr>
      <t xml:space="preserve"> 0.95</t>
    </r>
  </si>
  <si>
    <r>
      <t>≤</t>
    </r>
    <r>
      <rPr>
        <sz val="11"/>
        <color rgb="FF000000"/>
        <rFont val="Calibri"/>
        <family val="2"/>
        <scheme val="minor"/>
      </rPr>
      <t xml:space="preserve"> 0.05</t>
    </r>
  </si>
  <si>
    <t>[0.034, 0.038]</t>
  </si>
  <si>
    <r>
      <t>≤</t>
    </r>
    <r>
      <rPr>
        <sz val="11"/>
        <color rgb="FF000000"/>
        <rFont val="Calibri"/>
        <family val="2"/>
        <scheme val="minor"/>
      </rPr>
      <t xml:space="preserve"> 0.08</t>
    </r>
  </si>
  <si>
    <t>Exposure to Anti-Smoking Ads → Risk Perceptions of Using Tobacco</t>
  </si>
  <si>
    <t>Exposure to Anti-Smoking Ads → Peer Disapproval of Smoking</t>
  </si>
  <si>
    <t>Exposure to Anti-Smoking Ads → Prevalence of Peers Using Tobacco</t>
  </si>
  <si>
    <t>Path</t>
  </si>
  <si>
    <t>Control</t>
  </si>
  <si>
    <t>(Reference Group in Parentheses)</t>
  </si>
  <si>
    <t>Risk Perceptions of Using Tobacco</t>
  </si>
  <si>
    <t>Peer Disapproval of Smoking</t>
  </si>
  <si>
    <t>Prevalence of Peers Using Tobacco</t>
  </si>
  <si>
    <t>Male (Female)</t>
  </si>
  <si>
    <t>Hispanic, any race (White, non-Hispanic)</t>
  </si>
  <si>
    <t>Black, non-Hispanic (White, non-Hispanic)</t>
  </si>
  <si>
    <r>
      <t>10</t>
    </r>
    <r>
      <rPr>
        <vertAlign val="superscript"/>
        <sz val="10"/>
        <rFont val="Times New Roman"/>
        <family val="1"/>
      </rPr>
      <t>th</t>
    </r>
    <r>
      <rPr>
        <sz val="10"/>
        <rFont val="Times New Roman"/>
        <family val="1"/>
      </rPr>
      <t xml:space="preserve"> Grade (8th Grade)</t>
    </r>
  </si>
  <si>
    <t>Parental Presence in Household (None)</t>
  </si>
  <si>
    <t>Confidence in Resisting Smoking</t>
  </si>
  <si>
    <r>
      <t>p-v</t>
    </r>
    <r>
      <rPr>
        <b/>
        <sz val="10"/>
        <rFont val="Times New Roman"/>
        <family val="1"/>
      </rPr>
      <t>alue</t>
    </r>
  </si>
  <si>
    <t>Exposure to Anti-Smoking Ads</t>
  </si>
  <si>
    <t>Current Smoking Status</t>
  </si>
  <si>
    <t>Peer Disapproval of Smoking 1+ packs of cigarettes per day</t>
  </si>
  <si>
    <t>Peer Disapproval of smoking cigarettes occasionally</t>
  </si>
  <si>
    <t>Risk Perception of smoking 1+ packs of cigarettes per day</t>
  </si>
  <si>
    <t>Risk Perception of using smokeless tobacco regularly</t>
  </si>
  <si>
    <t>Risk Perception of smoking 1-5 cigarettes per day</t>
  </si>
  <si>
    <t>Estimation of peers smoking cigarettes</t>
  </si>
  <si>
    <t>Estimation of peers using smokeless cigarettes</t>
  </si>
  <si>
    <t>Risk Perceptions</t>
  </si>
  <si>
    <t>Smoking 1+ packs of cigarettes per day</t>
  </si>
  <si>
    <t>Using smokeless tobacco regularly</t>
  </si>
  <si>
    <t>Smoking 1-5 cigarettes per day</t>
  </si>
  <si>
    <t>Peer Disapproval</t>
  </si>
  <si>
    <t>Smoking cigarettes occasionally</t>
  </si>
  <si>
    <t xml:space="preserve">Prevalence Peers Using Tobacco </t>
  </si>
  <si>
    <t>Peer Disapproval of smoking 1+ packs of cigarettes per day</t>
  </si>
  <si>
    <t>Weighted (%)</t>
  </si>
  <si>
    <t>Weighted N</t>
  </si>
  <si>
    <t>Number of Observations</t>
  </si>
  <si>
    <t>Missing/ Unknown</t>
  </si>
  <si>
    <t>Intention to Not Smoke for 5 Years</t>
  </si>
  <si>
    <t>Prevalence of peers smoking cigarettes</t>
  </si>
  <si>
    <t>Prevalence of peers using smokeless cigarettes</t>
  </si>
  <si>
    <t>Intention to Not Smoke for 5 Years→ Smoking status</t>
  </si>
  <si>
    <t>Confidence in Resisting Smoking → Intention to Not Smoke for 5 Years</t>
  </si>
  <si>
    <t>Risk Perceptions of Using Tobacco → Intention to Not Smoke for 5 Years</t>
  </si>
  <si>
    <t>Peer Disapproval of Smoking → Intention to Not Smoke for 5 Years</t>
  </si>
  <si>
    <t>Prevalence of Peers Using Tobacco → Intention to Not Smoke for 5 Years</t>
  </si>
  <si>
    <t xml:space="preserve">Exposure to Anti-Smoking Ads→ Intention to Not Smoke for 5 Years </t>
  </si>
  <si>
    <t xml:space="preserve">Confidence in Resisting Smoking → Smoking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</si>
</sst>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%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2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000000"/>
      <name val="SimSun"/>
    </font>
    <font>
      <vertAlign val="superscript"/>
      <sz val="10"/>
      <name val="Times New Roman"/>
      <family val="1"/>
    </font>
    <font>
      <b/>
      <i/>
      <sz val="1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4D4D4D"/>
      </bottom>
      <diagonal/>
    </border>
    <border>
      <left/>
      <right/>
      <top style="thick">
        <color rgb="FF4D4D4D"/>
      </top>
      <bottom style="double">
        <color indexed="64"/>
      </bottom>
      <diagonal/>
    </border>
    <border>
      <left/>
      <right/>
      <top/>
      <bottom style="double">
        <color rgb="FF808080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24">
    <xf numFmtId="0" fontId="0" fillId="0" borderId="0" xfId="0"/>
    <xf numFmtId="0" fontId="6" fillId="0" borderId="0" xfId="0" applyFont="1" applyAlignment="1">
      <alignment horizontal="left" vertical="top"/>
    </xf>
    <xf numFmtId="0" fontId="6" fillId="0" borderId="0" xfId="0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8" xfId="0" applyFont="1" applyBorder="1" applyAlignment="1">
      <alignment horizontal="center" vertical="top"/>
    </xf>
    <xf numFmtId="165" fontId="6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1" fontId="3" fillId="0" borderId="0" xfId="0" applyNumberFormat="1" applyFont="1" applyAlignment="1">
      <alignment horizontal="center" vertical="center"/>
    </xf>
    <xf numFmtId="9" fontId="3" fillId="0" borderId="9" xfId="1" applyFont="1" applyBorder="1" applyAlignment="1">
      <alignment horizontal="center" vertical="top"/>
    </xf>
    <xf numFmtId="1" fontId="3" fillId="0" borderId="9" xfId="0" applyNumberFormat="1" applyFont="1" applyBorder="1" applyAlignment="1">
      <alignment horizontal="center" vertical="top"/>
    </xf>
    <xf numFmtId="166" fontId="4" fillId="0" borderId="8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164" fontId="10" fillId="0" borderId="22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4" fontId="3" fillId="0" borderId="22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/>
    <xf numFmtId="0" fontId="10" fillId="0" borderId="22" xfId="0" applyFon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5" fillId="0" borderId="22" xfId="0" applyFont="1" applyBorder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0" fillId="0" borderId="22" xfId="0" applyBorder="1"/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2" fontId="0" fillId="0" borderId="0" xfId="0" applyNumberFormat="1" applyAlignment="1">
      <alignment horizontal="left" vertical="top"/>
    </xf>
    <xf numFmtId="0" fontId="10" fillId="0" borderId="17" xfId="0" applyFont="1" applyBorder="1" applyAlignment="1">
      <alignment vertical="center"/>
    </xf>
    <xf numFmtId="0" fontId="6" fillId="0" borderId="29" xfId="0" applyFont="1" applyBorder="1" applyAlignment="1">
      <alignment horizontal="left" vertical="top"/>
    </xf>
    <xf numFmtId="0" fontId="10" fillId="0" borderId="18" xfId="0" applyFont="1" applyBorder="1" applyAlignment="1">
      <alignment vertical="center"/>
    </xf>
    <xf numFmtId="2" fontId="0" fillId="0" borderId="22" xfId="0" applyNumberFormat="1" applyBorder="1" applyAlignment="1">
      <alignment horizontal="left" vertical="top"/>
    </xf>
    <xf numFmtId="0" fontId="6" fillId="0" borderId="24" xfId="0" applyFont="1" applyBorder="1" applyAlignment="1">
      <alignment horizontal="left" vertical="top"/>
    </xf>
    <xf numFmtId="0" fontId="6" fillId="0" borderId="20" xfId="0" applyFont="1" applyBorder="1" applyAlignment="1">
      <alignment horizontal="left" vertical="top"/>
    </xf>
    <xf numFmtId="0" fontId="6" fillId="0" borderId="30" xfId="0" applyFont="1" applyBorder="1" applyAlignment="1">
      <alignment horizontal="left" vertical="top"/>
    </xf>
    <xf numFmtId="0" fontId="6" fillId="0" borderId="31" xfId="0" applyFont="1" applyBorder="1" applyAlignment="1">
      <alignment horizontal="left" vertical="top"/>
    </xf>
    <xf numFmtId="0" fontId="10" fillId="0" borderId="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top"/>
    </xf>
    <xf numFmtId="0" fontId="11" fillId="0" borderId="33" xfId="0" applyFont="1" applyBorder="1" applyAlignment="1">
      <alignment horizontal="center" vertical="top"/>
    </xf>
    <xf numFmtId="0" fontId="8" fillId="0" borderId="34" xfId="0" applyFont="1" applyBorder="1" applyAlignment="1">
      <alignment horizontal="center" vertical="top"/>
    </xf>
    <xf numFmtId="0" fontId="8" fillId="0" borderId="35" xfId="0" applyFont="1" applyBorder="1" applyAlignment="1">
      <alignment horizontal="center" vertical="top"/>
    </xf>
    <xf numFmtId="0" fontId="8" fillId="0" borderId="36" xfId="0" applyFont="1" applyBorder="1" applyAlignment="1">
      <alignment horizontal="center" vertical="top"/>
    </xf>
    <xf numFmtId="0" fontId="8" fillId="0" borderId="37" xfId="0" applyFont="1" applyBorder="1" applyAlignment="1">
      <alignment horizontal="center" vertical="top"/>
    </xf>
    <xf numFmtId="0" fontId="10" fillId="0" borderId="35" xfId="0" applyFont="1" applyBorder="1" applyAlignment="1">
      <alignment horizontal="center" vertical="top"/>
    </xf>
    <xf numFmtId="0" fontId="10" fillId="0" borderId="36" xfId="0" applyFont="1" applyBorder="1" applyAlignment="1">
      <alignment horizontal="center" vertical="top"/>
    </xf>
    <xf numFmtId="0" fontId="10" fillId="0" borderId="37" xfId="0" applyFont="1" applyBorder="1" applyAlignment="1">
      <alignment horizontal="center" vertical="top"/>
    </xf>
    <xf numFmtId="0" fontId="11" fillId="0" borderId="38" xfId="0" applyFont="1" applyBorder="1" applyAlignment="1">
      <alignment horizontal="center" vertical="top"/>
    </xf>
    <xf numFmtId="0" fontId="10" fillId="0" borderId="39" xfId="0" applyFont="1" applyBorder="1" applyAlignment="1">
      <alignment horizontal="center" vertical="top" wrapText="1"/>
    </xf>
    <xf numFmtId="0" fontId="10" fillId="0" borderId="40" xfId="0" applyFont="1" applyBorder="1" applyAlignment="1">
      <alignment horizontal="center" vertical="top" wrapText="1"/>
    </xf>
    <xf numFmtId="0" fontId="10" fillId="0" borderId="41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center" vertical="top" wrapText="1"/>
    </xf>
    <xf numFmtId="0" fontId="10" fillId="0" borderId="42" xfId="0" applyFont="1" applyBorder="1" applyAlignment="1">
      <alignment horizontal="center" vertical="top"/>
    </xf>
    <xf numFmtId="0" fontId="10" fillId="0" borderId="43" xfId="0" applyFont="1" applyBorder="1" applyAlignment="1">
      <alignment horizontal="center" vertical="top" wrapText="1"/>
    </xf>
    <xf numFmtId="0" fontId="16" fillId="0" borderId="8" xfId="0" applyFont="1" applyBorder="1"/>
    <xf numFmtId="0" fontId="16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0" fontId="0" fillId="0" borderId="9" xfId="1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9" fontId="3" fillId="0" borderId="0" xfId="1" applyFont="1" applyBorder="1" applyAlignment="1">
      <alignment horizontal="center" vertical="top"/>
    </xf>
    <xf numFmtId="0" fontId="3" fillId="0" borderId="44" xfId="0" applyFont="1" applyBorder="1" applyAlignment="1">
      <alignment horizontal="center" vertical="top"/>
    </xf>
    <xf numFmtId="164" fontId="6" fillId="0" borderId="6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10" fillId="0" borderId="3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15A7-44C7-4C54-BB03-B5E230EB14C4}">
  <dimension ref="C3:P45"/>
  <sheetViews>
    <sheetView topLeftCell="C27" zoomScale="102" workbookViewId="0">
      <selection activeCell="F50" sqref="F50"/>
    </sheetView>
  </sheetViews>
  <sheetFormatPr defaultRowHeight="13" x14ac:dyDescent="0.35"/>
  <cols>
    <col min="1" max="2" width="8.7265625" style="3"/>
    <col min="3" max="3" width="45.1796875" style="3" bestFit="1" customWidth="1"/>
    <col min="4" max="4" width="10.08984375" style="3" bestFit="1" customWidth="1"/>
    <col min="5" max="5" width="4.90625" style="3" bestFit="1" customWidth="1"/>
    <col min="6" max="6" width="16" style="3" bestFit="1" customWidth="1"/>
    <col min="7" max="7" width="5.54296875" style="3" bestFit="1" customWidth="1"/>
    <col min="8" max="8" width="13.08984375" style="77" bestFit="1" customWidth="1"/>
    <col min="9" max="9" width="8.7265625" style="3"/>
    <col min="10" max="10" width="13.7265625" style="3" bestFit="1" customWidth="1"/>
    <col min="11" max="11" width="10.6328125" style="3" bestFit="1" customWidth="1"/>
    <col min="12" max="12" width="13.08984375" style="3" bestFit="1" customWidth="1"/>
    <col min="13" max="13" width="11.08984375" style="12" bestFit="1" customWidth="1"/>
    <col min="14" max="14" width="19.90625" style="3" bestFit="1" customWidth="1"/>
    <col min="15" max="16" width="15.36328125" style="3" bestFit="1" customWidth="1"/>
    <col min="17" max="16384" width="8.7265625" style="3"/>
  </cols>
  <sheetData>
    <row r="3" spans="3:16" ht="14.5" thickBot="1" x14ac:dyDescent="0.35">
      <c r="C3" s="78" t="s">
        <v>29</v>
      </c>
      <c r="D3" s="86" t="s">
        <v>77</v>
      </c>
      <c r="E3" s="86" t="s">
        <v>35</v>
      </c>
      <c r="F3" s="5" t="s">
        <v>30</v>
      </c>
      <c r="G3" s="5" t="s">
        <v>31</v>
      </c>
      <c r="H3" s="18" t="s">
        <v>72</v>
      </c>
      <c r="J3" s="5" t="s">
        <v>51</v>
      </c>
      <c r="K3" s="5" t="s">
        <v>35</v>
      </c>
      <c r="L3" s="93" t="s">
        <v>117</v>
      </c>
      <c r="M3" s="94" t="s">
        <v>118</v>
      </c>
      <c r="N3" s="5" t="s">
        <v>119</v>
      </c>
      <c r="O3" s="5" t="s">
        <v>77</v>
      </c>
      <c r="P3" s="5" t="s">
        <v>120</v>
      </c>
    </row>
    <row r="4" spans="3:16" ht="15" thickTop="1" x14ac:dyDescent="0.35">
      <c r="C4" s="79" t="s">
        <v>121</v>
      </c>
      <c r="D4" s="87">
        <v>4549</v>
      </c>
      <c r="E4" s="88">
        <v>1</v>
      </c>
      <c r="F4" s="3" t="s">
        <v>56</v>
      </c>
      <c r="G4" s="14">
        <v>25.08</v>
      </c>
      <c r="H4" s="13">
        <v>6.0000000000000001E-3</v>
      </c>
      <c r="J4" s="95" t="s">
        <v>78</v>
      </c>
      <c r="K4" s="95" t="s">
        <v>43</v>
      </c>
      <c r="L4" s="96">
        <v>1.38E-2</v>
      </c>
      <c r="M4" s="40">
        <v>186</v>
      </c>
      <c r="N4" s="109">
        <v>13443</v>
      </c>
      <c r="O4" s="112">
        <f>SUM(M4:M7)</f>
        <v>12127</v>
      </c>
      <c r="P4" s="112">
        <f>N4-(SUM(M4:M7))</f>
        <v>1316</v>
      </c>
    </row>
    <row r="5" spans="3:16" ht="14.5" x14ac:dyDescent="0.35">
      <c r="C5" s="80"/>
      <c r="D5" s="88"/>
      <c r="E5" s="88">
        <v>2</v>
      </c>
      <c r="F5" s="3" t="s">
        <v>58</v>
      </c>
      <c r="G5" s="14">
        <v>176.089</v>
      </c>
      <c r="H5" s="13">
        <v>3.9E-2</v>
      </c>
      <c r="J5" s="95"/>
      <c r="K5" s="95" t="s">
        <v>44</v>
      </c>
      <c r="L5" s="96">
        <v>3.44E-2</v>
      </c>
      <c r="M5" s="40">
        <v>462</v>
      </c>
      <c r="N5" s="110"/>
      <c r="O5" s="110"/>
      <c r="P5" s="110"/>
    </row>
    <row r="6" spans="3:16" ht="14.5" x14ac:dyDescent="0.35">
      <c r="C6" s="80"/>
      <c r="D6" s="88"/>
      <c r="E6" s="88">
        <v>3</v>
      </c>
      <c r="F6" s="3" t="s">
        <v>59</v>
      </c>
      <c r="G6" s="14">
        <v>1063.95</v>
      </c>
      <c r="H6" s="13">
        <v>0.23400000000000001</v>
      </c>
      <c r="J6" s="95"/>
      <c r="K6" s="95" t="s">
        <v>45</v>
      </c>
      <c r="L6" s="96">
        <v>0.15890000000000001</v>
      </c>
      <c r="M6" s="40">
        <v>2136</v>
      </c>
      <c r="N6" s="110"/>
      <c r="O6" s="110"/>
      <c r="P6" s="110"/>
    </row>
    <row r="7" spans="3:16" ht="15" thickBot="1" x14ac:dyDescent="0.4">
      <c r="C7" s="81"/>
      <c r="D7" s="89"/>
      <c r="E7" s="88">
        <v>4</v>
      </c>
      <c r="F7" s="3" t="s">
        <v>57</v>
      </c>
      <c r="G7" s="14">
        <v>3283.8209999999999</v>
      </c>
      <c r="H7" s="13">
        <v>0.72199999999999998</v>
      </c>
      <c r="J7" s="95"/>
      <c r="K7" s="95" t="s">
        <v>46</v>
      </c>
      <c r="L7" s="96">
        <v>0.69499999999999995</v>
      </c>
      <c r="M7" s="40">
        <v>9343</v>
      </c>
      <c r="N7" s="110"/>
      <c r="O7" s="110"/>
      <c r="P7" s="110"/>
    </row>
    <row r="8" spans="3:16" ht="14.5" x14ac:dyDescent="0.35">
      <c r="C8" s="82" t="s">
        <v>98</v>
      </c>
      <c r="D8" s="90">
        <v>2289</v>
      </c>
      <c r="E8" s="88">
        <v>1</v>
      </c>
      <c r="F8" s="3" t="s">
        <v>52</v>
      </c>
      <c r="G8" s="14">
        <v>33.238999999999997</v>
      </c>
      <c r="H8" s="13">
        <v>1.4999999999999999E-2</v>
      </c>
      <c r="J8" s="95" t="s">
        <v>32</v>
      </c>
      <c r="K8" s="95" t="s">
        <v>36</v>
      </c>
      <c r="L8" s="96">
        <v>0.443</v>
      </c>
      <c r="M8" s="40">
        <v>5955</v>
      </c>
      <c r="N8" s="110">
        <v>13443</v>
      </c>
      <c r="O8" s="110">
        <f>SUM(M8:M9)</f>
        <v>11930</v>
      </c>
      <c r="P8" s="110">
        <f>N8-(SUM(M8:M9))</f>
        <v>1513</v>
      </c>
    </row>
    <row r="9" spans="3:16" ht="14.5" x14ac:dyDescent="0.35">
      <c r="C9" s="80"/>
      <c r="D9" s="88"/>
      <c r="E9" s="88">
        <v>2</v>
      </c>
      <c r="F9" s="3" t="s">
        <v>53</v>
      </c>
      <c r="G9" s="14">
        <v>99.027000000000001</v>
      </c>
      <c r="H9" s="13">
        <v>4.2999999999999997E-2</v>
      </c>
      <c r="J9" s="95"/>
      <c r="K9" s="95" t="s">
        <v>37</v>
      </c>
      <c r="L9" s="96">
        <v>0.44450000000000001</v>
      </c>
      <c r="M9" s="40">
        <v>5975</v>
      </c>
      <c r="N9" s="110"/>
      <c r="O9" s="110"/>
      <c r="P9" s="110"/>
    </row>
    <row r="10" spans="3:16" ht="14.5" x14ac:dyDescent="0.35">
      <c r="C10" s="80"/>
      <c r="D10" s="88"/>
      <c r="E10" s="88">
        <v>3</v>
      </c>
      <c r="F10" s="3" t="s">
        <v>54</v>
      </c>
      <c r="G10" s="14">
        <v>486.06299999999999</v>
      </c>
      <c r="H10" s="13">
        <v>0.21199999999999999</v>
      </c>
      <c r="J10" s="95" t="s">
        <v>33</v>
      </c>
      <c r="K10" s="95" t="s">
        <v>39</v>
      </c>
      <c r="L10" s="96">
        <v>0.1166</v>
      </c>
      <c r="M10" s="40">
        <v>1567</v>
      </c>
      <c r="N10" s="110">
        <v>13443</v>
      </c>
      <c r="O10" s="110">
        <f>SUM(M10:M12)</f>
        <v>9753</v>
      </c>
      <c r="P10" s="110">
        <f>N10-(SUM(M10:M12))</f>
        <v>3690</v>
      </c>
    </row>
    <row r="11" spans="3:16" ht="15" thickBot="1" x14ac:dyDescent="0.4">
      <c r="C11" s="81"/>
      <c r="D11" s="89"/>
      <c r="E11" s="88">
        <v>4</v>
      </c>
      <c r="F11" s="3" t="s">
        <v>55</v>
      </c>
      <c r="G11" s="14">
        <v>1670.9770000000001</v>
      </c>
      <c r="H11" s="13">
        <v>0.73</v>
      </c>
      <c r="J11" s="95"/>
      <c r="K11" s="95" t="s">
        <v>38</v>
      </c>
      <c r="L11" s="96">
        <v>0.38590000000000002</v>
      </c>
      <c r="M11" s="40">
        <v>5188</v>
      </c>
      <c r="N11" s="110"/>
      <c r="O11" s="110"/>
      <c r="P11" s="110"/>
    </row>
    <row r="12" spans="3:16" ht="14.5" x14ac:dyDescent="0.35">
      <c r="C12" s="83" t="s">
        <v>73</v>
      </c>
      <c r="D12" s="90">
        <v>4316</v>
      </c>
      <c r="E12" s="88">
        <v>1</v>
      </c>
      <c r="F12" s="3" t="s">
        <v>50</v>
      </c>
      <c r="G12" s="14">
        <v>878.62800000000004</v>
      </c>
      <c r="H12" s="13">
        <v>0.20399999999999999</v>
      </c>
      <c r="J12" s="95"/>
      <c r="K12" s="95" t="s">
        <v>40</v>
      </c>
      <c r="L12" s="96">
        <v>0.223</v>
      </c>
      <c r="M12" s="40">
        <v>2998</v>
      </c>
      <c r="N12" s="110"/>
      <c r="O12" s="110"/>
      <c r="P12" s="110"/>
    </row>
    <row r="13" spans="3:16" ht="15" thickBot="1" x14ac:dyDescent="0.4">
      <c r="C13" s="84"/>
      <c r="D13" s="89"/>
      <c r="E13" s="88">
        <v>2</v>
      </c>
      <c r="F13" s="3" t="s">
        <v>49</v>
      </c>
      <c r="G13" s="14">
        <v>3437.0810000000001</v>
      </c>
      <c r="H13" s="13">
        <v>0.79600000000000004</v>
      </c>
      <c r="J13" s="95" t="s">
        <v>34</v>
      </c>
      <c r="K13" s="95" t="s">
        <v>41</v>
      </c>
      <c r="L13" s="96">
        <v>0.42349999999999999</v>
      </c>
      <c r="M13" s="40">
        <v>5693</v>
      </c>
      <c r="N13" s="110">
        <v>13443</v>
      </c>
      <c r="O13" s="109">
        <f>SUM(M13:M14)</f>
        <v>13443</v>
      </c>
      <c r="P13" s="109">
        <f>N13-(SUM(M13:M14))</f>
        <v>0</v>
      </c>
    </row>
    <row r="14" spans="3:16" ht="15" thickBot="1" x14ac:dyDescent="0.4">
      <c r="C14" s="85" t="s">
        <v>101</v>
      </c>
      <c r="D14" s="90">
        <v>13431</v>
      </c>
      <c r="E14" s="88">
        <v>1</v>
      </c>
      <c r="F14" s="3" t="s">
        <v>47</v>
      </c>
      <c r="G14" s="14">
        <v>13223.583000000001</v>
      </c>
      <c r="H14" s="13">
        <v>0.98499999999999999</v>
      </c>
      <c r="J14" s="97"/>
      <c r="K14" s="97" t="s">
        <v>42</v>
      </c>
      <c r="L14" s="98">
        <v>0.57650000000000001</v>
      </c>
      <c r="M14" s="99">
        <v>7750</v>
      </c>
      <c r="N14" s="111"/>
      <c r="O14" s="111"/>
      <c r="P14" s="111"/>
    </row>
    <row r="15" spans="3:16" ht="14" thickTop="1" thickBot="1" x14ac:dyDescent="0.4">
      <c r="C15" s="84"/>
      <c r="D15" s="89"/>
      <c r="E15" s="88">
        <v>2</v>
      </c>
      <c r="F15" s="3" t="s">
        <v>48</v>
      </c>
      <c r="G15" s="14">
        <v>207.506</v>
      </c>
      <c r="H15" s="13">
        <v>1.4999999999999999E-2</v>
      </c>
    </row>
    <row r="16" spans="3:16" x14ac:dyDescent="0.35">
      <c r="C16" s="85" t="s">
        <v>104</v>
      </c>
      <c r="D16" s="90">
        <v>12784</v>
      </c>
      <c r="E16" s="88">
        <v>1</v>
      </c>
      <c r="F16" s="3" t="s">
        <v>60</v>
      </c>
      <c r="G16" s="14">
        <v>1089.009</v>
      </c>
      <c r="H16" s="13">
        <v>8.5000000000000006E-2</v>
      </c>
      <c r="N16" s="14"/>
    </row>
    <row r="17" spans="3:13" x14ac:dyDescent="0.35">
      <c r="C17" s="83"/>
      <c r="D17" s="88"/>
      <c r="E17" s="88">
        <v>2</v>
      </c>
      <c r="F17" s="3" t="s">
        <v>61</v>
      </c>
      <c r="G17" s="14">
        <v>469.78500000000003</v>
      </c>
      <c r="H17" s="13">
        <v>3.6999999999999998E-2</v>
      </c>
    </row>
    <row r="18" spans="3:13" x14ac:dyDescent="0.35">
      <c r="C18" s="83"/>
      <c r="D18" s="88"/>
      <c r="E18" s="88">
        <v>3</v>
      </c>
      <c r="F18" s="3" t="s">
        <v>62</v>
      </c>
      <c r="G18" s="14">
        <v>1993.296</v>
      </c>
      <c r="H18" s="13">
        <v>0.156</v>
      </c>
      <c r="M18" s="15"/>
    </row>
    <row r="19" spans="3:13" ht="13.5" thickBot="1" x14ac:dyDescent="0.4">
      <c r="C19" s="84"/>
      <c r="D19" s="89"/>
      <c r="E19" s="88">
        <v>4</v>
      </c>
      <c r="F19" s="3" t="s">
        <v>63</v>
      </c>
      <c r="G19" s="14">
        <v>9231.91</v>
      </c>
      <c r="H19" s="13">
        <v>0.72199999999999998</v>
      </c>
    </row>
    <row r="20" spans="3:13" x14ac:dyDescent="0.35">
      <c r="C20" s="85" t="s">
        <v>105</v>
      </c>
      <c r="D20" s="90">
        <v>11894</v>
      </c>
      <c r="E20" s="88">
        <v>1</v>
      </c>
      <c r="F20" s="3" t="s">
        <v>60</v>
      </c>
      <c r="G20" s="14">
        <v>1197.672</v>
      </c>
      <c r="H20" s="13">
        <v>0.10100000000000001</v>
      </c>
    </row>
    <row r="21" spans="3:13" x14ac:dyDescent="0.35">
      <c r="C21" s="83"/>
      <c r="D21" s="88"/>
      <c r="E21" s="88">
        <v>2</v>
      </c>
      <c r="F21" s="3" t="s">
        <v>61</v>
      </c>
      <c r="G21" s="14">
        <v>1211.8230000000001</v>
      </c>
      <c r="H21" s="13">
        <v>0.10199999999999999</v>
      </c>
    </row>
    <row r="22" spans="3:13" x14ac:dyDescent="0.35">
      <c r="C22" s="83"/>
      <c r="D22" s="88"/>
      <c r="E22" s="88">
        <v>3</v>
      </c>
      <c r="F22" s="3" t="s">
        <v>62</v>
      </c>
      <c r="G22" s="14">
        <v>3758.424</v>
      </c>
      <c r="H22" s="13">
        <v>0.316</v>
      </c>
    </row>
    <row r="23" spans="3:13" ht="13.5" thickBot="1" x14ac:dyDescent="0.4">
      <c r="C23" s="84"/>
      <c r="D23" s="89"/>
      <c r="E23" s="88">
        <v>4</v>
      </c>
      <c r="F23" s="3" t="s">
        <v>63</v>
      </c>
      <c r="G23" s="14">
        <v>5725.6790000000001</v>
      </c>
      <c r="H23" s="13">
        <v>0.48099999999999998</v>
      </c>
    </row>
    <row r="24" spans="3:13" x14ac:dyDescent="0.35">
      <c r="C24" s="85" t="s">
        <v>106</v>
      </c>
      <c r="D24" s="90">
        <v>4363</v>
      </c>
      <c r="E24" s="88">
        <v>1</v>
      </c>
      <c r="F24" s="3" t="s">
        <v>60</v>
      </c>
      <c r="G24" s="14">
        <v>551.70399999999995</v>
      </c>
      <c r="H24" s="13">
        <v>0.126</v>
      </c>
    </row>
    <row r="25" spans="3:13" x14ac:dyDescent="0.35">
      <c r="C25" s="83"/>
      <c r="D25" s="88"/>
      <c r="E25" s="88">
        <v>2</v>
      </c>
      <c r="F25" s="3" t="s">
        <v>61</v>
      </c>
      <c r="G25" s="14">
        <v>360.30700000000002</v>
      </c>
      <c r="H25" s="13">
        <v>8.3000000000000004E-2</v>
      </c>
    </row>
    <row r="26" spans="3:13" x14ac:dyDescent="0.35">
      <c r="C26" s="83"/>
      <c r="D26" s="88"/>
      <c r="E26" s="88">
        <v>3</v>
      </c>
      <c r="F26" s="3" t="s">
        <v>62</v>
      </c>
      <c r="G26" s="14">
        <v>1551.5989999999999</v>
      </c>
      <c r="H26" s="13">
        <v>0.35599999999999998</v>
      </c>
    </row>
    <row r="27" spans="3:13" ht="13.5" thickBot="1" x14ac:dyDescent="0.4">
      <c r="C27" s="84"/>
      <c r="D27" s="89"/>
      <c r="E27" s="88">
        <v>4</v>
      </c>
      <c r="F27" s="3" t="s">
        <v>63</v>
      </c>
      <c r="G27" s="14">
        <v>1899.577</v>
      </c>
      <c r="H27" s="13">
        <v>0.435</v>
      </c>
    </row>
    <row r="28" spans="3:13" x14ac:dyDescent="0.35">
      <c r="C28" s="85" t="s">
        <v>116</v>
      </c>
      <c r="D28" s="90">
        <v>4198</v>
      </c>
      <c r="E28" s="88">
        <v>1</v>
      </c>
      <c r="F28" s="3" t="s">
        <v>66</v>
      </c>
      <c r="G28" s="14">
        <v>375.07799999999997</v>
      </c>
      <c r="H28" s="13">
        <v>8.8999999999999996E-2</v>
      </c>
    </row>
    <row r="29" spans="3:13" x14ac:dyDescent="0.35">
      <c r="C29" s="83"/>
      <c r="D29" s="88"/>
      <c r="E29" s="88">
        <v>2</v>
      </c>
      <c r="F29" s="3" t="s">
        <v>65</v>
      </c>
      <c r="G29" s="14">
        <v>964.85</v>
      </c>
      <c r="H29" s="13">
        <v>0.23</v>
      </c>
    </row>
    <row r="30" spans="3:13" ht="13.5" thickBot="1" x14ac:dyDescent="0.4">
      <c r="C30" s="84"/>
      <c r="D30" s="89"/>
      <c r="E30" s="88">
        <v>3</v>
      </c>
      <c r="F30" s="3" t="s">
        <v>64</v>
      </c>
      <c r="G30" s="14">
        <v>2858.1439999999998</v>
      </c>
      <c r="H30" s="13">
        <v>0.68100000000000005</v>
      </c>
    </row>
    <row r="31" spans="3:13" x14ac:dyDescent="0.35">
      <c r="C31" s="85" t="s">
        <v>103</v>
      </c>
      <c r="D31" s="90">
        <v>4219</v>
      </c>
      <c r="E31" s="88">
        <v>1</v>
      </c>
      <c r="F31" s="3" t="s">
        <v>66</v>
      </c>
      <c r="G31" s="14">
        <v>659.86099999999999</v>
      </c>
      <c r="H31" s="13">
        <v>0.156</v>
      </c>
    </row>
    <row r="32" spans="3:13" x14ac:dyDescent="0.35">
      <c r="C32" s="83"/>
      <c r="D32" s="88"/>
      <c r="E32" s="88">
        <v>2</v>
      </c>
      <c r="F32" s="3" t="s">
        <v>65</v>
      </c>
      <c r="G32" s="14">
        <v>1476.3119999999999</v>
      </c>
      <c r="H32" s="13">
        <v>0.35</v>
      </c>
    </row>
    <row r="33" spans="3:8" ht="13.5" thickBot="1" x14ac:dyDescent="0.4">
      <c r="C33" s="84"/>
      <c r="D33" s="89"/>
      <c r="E33" s="88">
        <v>3</v>
      </c>
      <c r="F33" s="3" t="s">
        <v>64</v>
      </c>
      <c r="G33" s="14">
        <v>2082.9520000000002</v>
      </c>
      <c r="H33" s="13">
        <v>0.49399999999999999</v>
      </c>
    </row>
    <row r="34" spans="3:8" x14ac:dyDescent="0.35">
      <c r="C34" s="85" t="s">
        <v>107</v>
      </c>
      <c r="D34" s="90">
        <v>8332</v>
      </c>
      <c r="E34" s="88">
        <v>1</v>
      </c>
      <c r="F34" s="3" t="s">
        <v>67</v>
      </c>
      <c r="G34" s="14">
        <v>6466.4629999999997</v>
      </c>
      <c r="H34" s="13">
        <v>0.77600000000000002</v>
      </c>
    </row>
    <row r="35" spans="3:8" x14ac:dyDescent="0.35">
      <c r="C35" s="83"/>
      <c r="D35" s="88"/>
      <c r="E35" s="88">
        <v>2</v>
      </c>
      <c r="F35" s="3" t="s">
        <v>68</v>
      </c>
      <c r="G35" s="14">
        <v>1408.4169999999999</v>
      </c>
      <c r="H35" s="13">
        <v>0.16900000000000001</v>
      </c>
    </row>
    <row r="36" spans="3:8" x14ac:dyDescent="0.35">
      <c r="C36" s="83"/>
      <c r="D36" s="88"/>
      <c r="E36" s="88">
        <v>3</v>
      </c>
      <c r="F36" s="3" t="s">
        <v>69</v>
      </c>
      <c r="G36" s="14">
        <v>316.447</v>
      </c>
      <c r="H36" s="13">
        <v>3.7999999999999999E-2</v>
      </c>
    </row>
    <row r="37" spans="3:8" x14ac:dyDescent="0.35">
      <c r="C37" s="83"/>
      <c r="D37" s="88"/>
      <c r="E37" s="88">
        <v>4</v>
      </c>
      <c r="F37" s="3" t="s">
        <v>70</v>
      </c>
      <c r="G37" s="14">
        <v>101.688</v>
      </c>
      <c r="H37" s="13">
        <v>5.0000000000000001E-3</v>
      </c>
    </row>
    <row r="38" spans="3:8" ht="13.5" thickBot="1" x14ac:dyDescent="0.4">
      <c r="C38" s="84"/>
      <c r="D38" s="89"/>
      <c r="E38" s="88">
        <v>5</v>
      </c>
      <c r="F38" s="3" t="s">
        <v>71</v>
      </c>
      <c r="G38" s="14">
        <v>39.015999999999998</v>
      </c>
      <c r="H38" s="13">
        <v>1.2E-2</v>
      </c>
    </row>
    <row r="39" spans="3:8" x14ac:dyDescent="0.35">
      <c r="C39" s="85" t="s">
        <v>108</v>
      </c>
      <c r="D39" s="90">
        <v>8310</v>
      </c>
      <c r="E39" s="88">
        <v>1</v>
      </c>
      <c r="F39" s="3" t="s">
        <v>67</v>
      </c>
      <c r="G39" s="14">
        <v>6981.6989999999996</v>
      </c>
      <c r="H39" s="100">
        <v>0.84</v>
      </c>
    </row>
    <row r="40" spans="3:8" ht="14.5" customHeight="1" x14ac:dyDescent="0.35">
      <c r="C40" s="83"/>
      <c r="D40" s="88"/>
      <c r="E40" s="88">
        <v>2</v>
      </c>
      <c r="F40" s="3" t="s">
        <v>68</v>
      </c>
      <c r="G40" s="14">
        <v>895.61099999999999</v>
      </c>
      <c r="H40" s="100">
        <v>0.108</v>
      </c>
    </row>
    <row r="41" spans="3:8" ht="14.5" customHeight="1" x14ac:dyDescent="0.35">
      <c r="C41" s="83"/>
      <c r="D41" s="88"/>
      <c r="E41" s="88">
        <v>3</v>
      </c>
      <c r="F41" s="3" t="s">
        <v>69</v>
      </c>
      <c r="G41" s="14">
        <v>323.976</v>
      </c>
      <c r="H41" s="100">
        <v>3.9E-2</v>
      </c>
    </row>
    <row r="42" spans="3:8" ht="14.5" customHeight="1" x14ac:dyDescent="0.35">
      <c r="C42" s="83"/>
      <c r="D42" s="88"/>
      <c r="E42" s="88">
        <v>4</v>
      </c>
      <c r="F42" s="3" t="s">
        <v>70</v>
      </c>
      <c r="G42" s="14">
        <v>76.486999999999995</v>
      </c>
      <c r="H42" s="100">
        <v>8.9999999999999993E-3</v>
      </c>
    </row>
    <row r="43" spans="3:8" ht="13.5" thickBot="1" x14ac:dyDescent="0.4">
      <c r="C43" s="91"/>
      <c r="D43" s="92"/>
      <c r="E43" s="92">
        <v>5</v>
      </c>
      <c r="F43" s="101" t="s">
        <v>71</v>
      </c>
      <c r="G43" s="17">
        <v>32.417000000000002</v>
      </c>
      <c r="H43" s="16">
        <v>4.0000000000000001E-3</v>
      </c>
    </row>
    <row r="44" spans="3:8" ht="13.5" thickTop="1" x14ac:dyDescent="0.35"/>
    <row r="45" spans="3:8" x14ac:dyDescent="0.35">
      <c r="D45" s="14"/>
      <c r="G45" s="14"/>
    </row>
  </sheetData>
  <mergeCells count="12">
    <mergeCell ref="N4:N7"/>
    <mergeCell ref="N8:N9"/>
    <mergeCell ref="N10:N12"/>
    <mergeCell ref="N13:N14"/>
    <mergeCell ref="P4:P7"/>
    <mergeCell ref="P8:P9"/>
    <mergeCell ref="P10:P12"/>
    <mergeCell ref="P13:P14"/>
    <mergeCell ref="O4:O7"/>
    <mergeCell ref="O8:O9"/>
    <mergeCell ref="O10:O12"/>
    <mergeCell ref="O13:O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C771-10B3-4E14-9D85-7FAB2EA68F4B}">
  <dimension ref="B1:E9"/>
  <sheetViews>
    <sheetView workbookViewId="0">
      <selection activeCell="I4" sqref="I4"/>
    </sheetView>
  </sheetViews>
  <sheetFormatPr defaultRowHeight="14.5" x14ac:dyDescent="0.35"/>
  <cols>
    <col min="2" max="2" width="12.7265625" bestFit="1" customWidth="1"/>
    <col min="3" max="3" width="16.6328125" bestFit="1" customWidth="1"/>
    <col min="4" max="4" width="9.1796875" bestFit="1" customWidth="1"/>
    <col min="5" max="5" width="12.90625" bestFit="1" customWidth="1"/>
    <col min="7" max="7" width="4" bestFit="1" customWidth="1"/>
  </cols>
  <sheetData>
    <row r="1" spans="2:5" ht="15" thickBot="1" x14ac:dyDescent="0.4">
      <c r="B1" s="54"/>
      <c r="C1" s="54"/>
      <c r="D1" s="54"/>
      <c r="E1" s="54"/>
    </row>
    <row r="2" spans="2:5" ht="15" thickBot="1" x14ac:dyDescent="0.4">
      <c r="B2" s="113" t="s">
        <v>17</v>
      </c>
      <c r="C2" s="113"/>
      <c r="D2" s="113"/>
      <c r="E2" s="113"/>
    </row>
    <row r="3" spans="2:5" ht="15" thickBot="1" x14ac:dyDescent="0.4">
      <c r="B3" s="53" t="s">
        <v>4</v>
      </c>
      <c r="C3" s="53" t="s">
        <v>5</v>
      </c>
      <c r="D3" s="53" t="s">
        <v>6</v>
      </c>
      <c r="E3" s="53" t="s">
        <v>7</v>
      </c>
    </row>
    <row r="4" spans="2:5" x14ac:dyDescent="0.35">
      <c r="B4" s="40" t="s">
        <v>18</v>
      </c>
      <c r="C4" s="48" t="s">
        <v>79</v>
      </c>
      <c r="D4" s="49" t="s">
        <v>28</v>
      </c>
      <c r="E4" s="40" t="s">
        <v>27</v>
      </c>
    </row>
    <row r="5" spans="2:5" ht="15" x14ac:dyDescent="0.35">
      <c r="B5" s="40" t="s">
        <v>8</v>
      </c>
      <c r="C5" s="49">
        <v>0.97499999999999998</v>
      </c>
      <c r="D5" s="50" t="s">
        <v>80</v>
      </c>
      <c r="E5" s="40" t="s">
        <v>9</v>
      </c>
    </row>
    <row r="6" spans="2:5" ht="15" x14ac:dyDescent="0.35">
      <c r="B6" s="40" t="s">
        <v>10</v>
      </c>
      <c r="C6" s="49">
        <v>0.95199999999999996</v>
      </c>
      <c r="D6" s="50" t="s">
        <v>80</v>
      </c>
      <c r="E6" s="40" t="s">
        <v>9</v>
      </c>
    </row>
    <row r="7" spans="2:5" ht="15" x14ac:dyDescent="0.35">
      <c r="B7" s="40" t="s">
        <v>11</v>
      </c>
      <c r="C7" s="49">
        <v>3.5999999999999997E-2</v>
      </c>
      <c r="D7" s="50" t="s">
        <v>81</v>
      </c>
      <c r="E7" s="40" t="s">
        <v>9</v>
      </c>
    </row>
    <row r="8" spans="2:5" ht="15" x14ac:dyDescent="0.35">
      <c r="B8" s="40" t="s">
        <v>19</v>
      </c>
      <c r="C8" s="49" t="s">
        <v>82</v>
      </c>
      <c r="D8" s="50" t="s">
        <v>83</v>
      </c>
      <c r="E8" s="40" t="s">
        <v>9</v>
      </c>
    </row>
    <row r="9" spans="2:5" ht="15.5" thickBot="1" x14ac:dyDescent="0.4">
      <c r="B9" s="46" t="s">
        <v>12</v>
      </c>
      <c r="C9" s="51">
        <v>0.09</v>
      </c>
      <c r="D9" s="52" t="s">
        <v>83</v>
      </c>
      <c r="E9" s="46" t="s">
        <v>13</v>
      </c>
    </row>
  </sheetData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3"/>
  <sheetViews>
    <sheetView workbookViewId="0">
      <selection activeCell="C16" sqref="C16"/>
    </sheetView>
  </sheetViews>
  <sheetFormatPr defaultRowHeight="13" x14ac:dyDescent="0.3"/>
  <cols>
    <col min="1" max="1" width="8.7265625" style="2"/>
    <col min="2" max="2" width="25.36328125" style="1" bestFit="1" customWidth="1"/>
    <col min="3" max="3" width="28.81640625" style="1" bestFit="1" customWidth="1"/>
    <col min="4" max="4" width="5.81640625" style="1" bestFit="1" customWidth="1"/>
    <col min="5" max="5" width="8" style="1" bestFit="1" customWidth="1"/>
    <col min="6" max="6" width="8.7265625" style="1" customWidth="1"/>
    <col min="7" max="7" width="8.7265625" style="1"/>
    <col min="8" max="8" width="25.36328125" style="1" bestFit="1" customWidth="1"/>
    <col min="9" max="10" width="4.36328125" style="2" bestFit="1" customWidth="1"/>
    <col min="11" max="11" width="35.08984375" style="2" bestFit="1" customWidth="1"/>
    <col min="12" max="16384" width="8.7265625" style="2"/>
  </cols>
  <sheetData>
    <row r="1" spans="2:12" x14ac:dyDescent="0.3">
      <c r="I1" s="1"/>
      <c r="J1" s="1"/>
      <c r="K1" s="1"/>
      <c r="L1" s="1"/>
    </row>
    <row r="2" spans="2:12" ht="13.5" thickBot="1" x14ac:dyDescent="0.35">
      <c r="I2" s="1"/>
      <c r="J2" s="1"/>
      <c r="K2" s="1"/>
      <c r="L2" s="1"/>
    </row>
    <row r="3" spans="2:12" ht="13.5" thickBot="1" x14ac:dyDescent="0.35">
      <c r="B3" s="114" t="s">
        <v>16</v>
      </c>
      <c r="C3" s="115"/>
      <c r="D3" s="115"/>
      <c r="E3" s="115"/>
      <c r="F3" s="116"/>
      <c r="I3" s="1"/>
      <c r="J3" s="1"/>
      <c r="K3" s="1"/>
      <c r="L3" s="1"/>
    </row>
    <row r="4" spans="2:12" ht="13.5" thickBot="1" x14ac:dyDescent="0.35">
      <c r="B4" s="55" t="s">
        <v>0</v>
      </c>
      <c r="C4" s="56" t="s">
        <v>1</v>
      </c>
      <c r="D4" s="56" t="s">
        <v>20</v>
      </c>
      <c r="E4" s="56" t="s">
        <v>2</v>
      </c>
      <c r="F4" s="62" t="s">
        <v>3</v>
      </c>
      <c r="H4" s="71" t="s">
        <v>0</v>
      </c>
      <c r="I4" s="72" t="s">
        <v>21</v>
      </c>
      <c r="J4" s="72" t="s">
        <v>22</v>
      </c>
      <c r="K4" s="73" t="s">
        <v>74</v>
      </c>
      <c r="L4" s="1"/>
    </row>
    <row r="5" spans="2:12" ht="14.5" x14ac:dyDescent="0.3">
      <c r="B5" s="117" t="s">
        <v>109</v>
      </c>
      <c r="C5" s="74" t="s">
        <v>110</v>
      </c>
      <c r="D5" s="102">
        <v>0.97299999999999998</v>
      </c>
      <c r="E5" s="63">
        <v>6.0000000000000001E-3</v>
      </c>
      <c r="F5" s="9" t="s">
        <v>14</v>
      </c>
      <c r="H5" s="66" t="s">
        <v>109</v>
      </c>
      <c r="I5" s="65">
        <f>((D5+D6+D7)^2)/(((D5+D6+D7)^2)+(1-D5^2)+(1-D6^2)+(1-D7^2))</f>
        <v>0.93296024641379549</v>
      </c>
      <c r="J5" s="65">
        <f>((D5^2)+(D6^2)+(D7^2))/3</f>
        <v>0.8231816666666667</v>
      </c>
      <c r="K5" s="67" t="s">
        <v>75</v>
      </c>
      <c r="L5" s="1"/>
    </row>
    <row r="6" spans="2:12" ht="14.5" x14ac:dyDescent="0.3">
      <c r="B6" s="118"/>
      <c r="C6" s="75" t="s">
        <v>111</v>
      </c>
      <c r="D6" s="103">
        <v>0.84</v>
      </c>
      <c r="E6" s="57">
        <v>7.0000000000000001E-3</v>
      </c>
      <c r="F6" s="58" t="s">
        <v>14</v>
      </c>
      <c r="H6" s="66" t="s">
        <v>113</v>
      </c>
      <c r="I6" s="65">
        <f>((D8+D9)^2)/(((D8+D9)^2)+(1-D8^2)+(1-D9^2))</f>
        <v>0.93743022081354155</v>
      </c>
      <c r="J6" s="65">
        <f>((D8^2)+(D9^2))/3</f>
        <v>0.5882816666666667</v>
      </c>
      <c r="K6" s="67" t="s">
        <v>76</v>
      </c>
      <c r="L6" s="1"/>
    </row>
    <row r="7" spans="2:12" ht="15" thickBot="1" x14ac:dyDescent="0.35">
      <c r="B7" s="118"/>
      <c r="C7" s="75" t="s">
        <v>112</v>
      </c>
      <c r="D7" s="103">
        <v>0.90400000000000003</v>
      </c>
      <c r="E7" s="57">
        <v>7.0000000000000001E-3</v>
      </c>
      <c r="F7" s="58" t="s">
        <v>14</v>
      </c>
      <c r="H7" s="68" t="s">
        <v>115</v>
      </c>
      <c r="I7" s="69">
        <f>((D10+D11)^2)/(((D10+D11)^2)+(1-D10^2)+(1-D11^2))</f>
        <v>0.88121624662466247</v>
      </c>
      <c r="J7" s="69">
        <f>((D10^2)+(D11^2))/3</f>
        <v>0.52590000000000003</v>
      </c>
      <c r="K7" s="70" t="s">
        <v>76</v>
      </c>
      <c r="L7" s="1"/>
    </row>
    <row r="8" spans="2:12" x14ac:dyDescent="0.3">
      <c r="B8" s="118" t="s">
        <v>113</v>
      </c>
      <c r="C8" s="75" t="s">
        <v>110</v>
      </c>
      <c r="D8" s="103">
        <v>0.89800000000000002</v>
      </c>
      <c r="E8" s="57">
        <v>2.1999999999999999E-2</v>
      </c>
      <c r="F8" s="58" t="s">
        <v>14</v>
      </c>
      <c r="H8" s="64"/>
      <c r="I8" s="1"/>
      <c r="J8" s="1"/>
      <c r="K8" s="1"/>
      <c r="L8" s="1"/>
    </row>
    <row r="9" spans="2:12" x14ac:dyDescent="0.3">
      <c r="B9" s="118"/>
      <c r="C9" s="75" t="s">
        <v>114</v>
      </c>
      <c r="D9" s="103">
        <v>0.97899999999999998</v>
      </c>
      <c r="E9" s="57">
        <v>2.4E-2</v>
      </c>
      <c r="F9" s="59" t="s">
        <v>14</v>
      </c>
      <c r="I9" s="1"/>
      <c r="J9" s="1"/>
      <c r="K9" s="1"/>
      <c r="L9" s="1"/>
    </row>
    <row r="10" spans="2:12" ht="14.5" customHeight="1" x14ac:dyDescent="0.3">
      <c r="B10" s="118" t="s">
        <v>115</v>
      </c>
      <c r="C10" s="75" t="s">
        <v>107</v>
      </c>
      <c r="D10" s="103">
        <v>0.96</v>
      </c>
      <c r="E10" s="57">
        <v>3.4000000000000002E-2</v>
      </c>
      <c r="F10" s="58" t="s">
        <v>14</v>
      </c>
      <c r="I10" s="1"/>
      <c r="J10" s="1"/>
      <c r="K10" s="1"/>
      <c r="L10" s="1"/>
    </row>
    <row r="11" spans="2:12" ht="13.5" thickBot="1" x14ac:dyDescent="0.35">
      <c r="B11" s="119"/>
      <c r="C11" s="76" t="s">
        <v>108</v>
      </c>
      <c r="D11" s="104">
        <v>0.81</v>
      </c>
      <c r="E11" s="60">
        <v>3.1E-2</v>
      </c>
      <c r="F11" s="61" t="s">
        <v>14</v>
      </c>
      <c r="I11" s="6"/>
      <c r="J11" s="1"/>
      <c r="K11" s="1"/>
      <c r="L11" s="1"/>
    </row>
    <row r="12" spans="2:12" x14ac:dyDescent="0.3">
      <c r="B12" s="8"/>
      <c r="H12" s="7"/>
      <c r="I12" s="1"/>
      <c r="J12" s="1"/>
      <c r="K12" s="1"/>
      <c r="L12" s="1"/>
    </row>
    <row r="13" spans="2:12" x14ac:dyDescent="0.3">
      <c r="I13" s="1"/>
      <c r="J13" s="1"/>
      <c r="K13" s="1"/>
      <c r="L13" s="1"/>
    </row>
  </sheetData>
  <mergeCells count="4">
    <mergeCell ref="B3:F3"/>
    <mergeCell ref="B5:B7"/>
    <mergeCell ref="B8:B9"/>
    <mergeCell ref="B10:B1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869F6-BEA3-48F8-8736-49DBC21816D5}">
  <dimension ref="A2:N57"/>
  <sheetViews>
    <sheetView tabSelected="1" zoomScaleNormal="100" workbookViewId="0">
      <selection activeCell="Q4" sqref="Q4"/>
    </sheetView>
  </sheetViews>
  <sheetFormatPr defaultRowHeight="13" x14ac:dyDescent="0.35"/>
  <cols>
    <col min="1" max="1" width="53.26953125" style="4" bestFit="1" customWidth="1"/>
    <col min="2" max="2" width="8.90625" style="4" bestFit="1" customWidth="1"/>
    <col min="3" max="3" width="6.90625" style="4" bestFit="1" customWidth="1"/>
    <col min="4" max="4" width="7.08984375" style="4" bestFit="1" customWidth="1"/>
    <col min="5" max="5" width="7.26953125" style="4" bestFit="1" customWidth="1"/>
    <col min="6" max="6" width="6.08984375" style="4" bestFit="1" customWidth="1"/>
    <col min="7" max="7" width="7.08984375" style="4" bestFit="1" customWidth="1"/>
    <col min="8" max="8" width="7.26953125" style="4" bestFit="1" customWidth="1"/>
    <col min="9" max="9" width="5.81640625" style="4" bestFit="1" customWidth="1"/>
    <col min="10" max="10" width="7" style="4" bestFit="1" customWidth="1"/>
    <col min="11" max="11" width="7.26953125" style="4" bestFit="1" customWidth="1"/>
    <col min="12" max="12" width="9.08984375" style="11" customWidth="1"/>
    <col min="13" max="13" width="5.54296875" style="11" bestFit="1" customWidth="1"/>
    <col min="14" max="14" width="6.453125" style="11" bestFit="1" customWidth="1"/>
    <col min="15" max="15" width="7.08984375" style="4" bestFit="1" customWidth="1"/>
    <col min="16" max="16" width="6.453125" style="4" bestFit="1" customWidth="1"/>
    <col min="17" max="17" width="5.81640625" style="4" bestFit="1" customWidth="1"/>
    <col min="18" max="18" width="7" style="4" bestFit="1" customWidth="1"/>
    <col min="19" max="19" width="7.08984375" style="4" bestFit="1" customWidth="1"/>
    <col min="20" max="20" width="4.90625" style="4" bestFit="1" customWidth="1"/>
    <col min="21" max="21" width="7" style="4" bestFit="1" customWidth="1"/>
    <col min="22" max="16384" width="8.7265625" style="4"/>
  </cols>
  <sheetData>
    <row r="2" spans="1:14" ht="13.5" thickBot="1" x14ac:dyDescent="0.4">
      <c r="A2" s="107" t="s">
        <v>87</v>
      </c>
      <c r="B2" s="107" t="s">
        <v>20</v>
      </c>
      <c r="C2" s="107" t="s">
        <v>15</v>
      </c>
      <c r="D2" s="108" t="s">
        <v>3</v>
      </c>
      <c r="L2" s="4"/>
      <c r="M2" s="4"/>
      <c r="N2" s="4"/>
    </row>
    <row r="3" spans="1:14" x14ac:dyDescent="0.35">
      <c r="A3" s="105" t="s">
        <v>125</v>
      </c>
      <c r="B3" s="21">
        <v>0.81699999999999995</v>
      </c>
      <c r="C3" s="21">
        <v>1.7999999999999999E-2</v>
      </c>
      <c r="D3" s="24">
        <v>0</v>
      </c>
      <c r="L3" s="4"/>
      <c r="M3" s="4"/>
      <c r="N3" s="4"/>
    </row>
    <row r="4" spans="1:14" ht="26" x14ac:dyDescent="0.35">
      <c r="A4" s="105" t="s">
        <v>126</v>
      </c>
      <c r="B4" s="21">
        <v>0.20100000000000001</v>
      </c>
      <c r="C4" s="21">
        <v>2.9000000000000001E-2</v>
      </c>
      <c r="D4" s="24">
        <v>0</v>
      </c>
      <c r="L4" s="4"/>
      <c r="M4" s="4"/>
      <c r="N4" s="4"/>
    </row>
    <row r="5" spans="1:14" x14ac:dyDescent="0.35">
      <c r="A5" s="105" t="s">
        <v>127</v>
      </c>
      <c r="B5" s="21">
        <v>0.432</v>
      </c>
      <c r="C5" s="21">
        <v>3.5000000000000003E-2</v>
      </c>
      <c r="D5" s="24">
        <v>0</v>
      </c>
      <c r="L5" s="4"/>
      <c r="M5" s="4"/>
      <c r="N5" s="4"/>
    </row>
    <row r="6" spans="1:14" ht="26" x14ac:dyDescent="0.35">
      <c r="A6" s="105" t="s">
        <v>128</v>
      </c>
      <c r="B6" s="21">
        <v>-0.34300000000000003</v>
      </c>
      <c r="C6" s="21">
        <v>3.1E-2</v>
      </c>
      <c r="D6" s="24">
        <v>0</v>
      </c>
      <c r="L6" s="4"/>
      <c r="M6" s="4"/>
      <c r="N6" s="4"/>
    </row>
    <row r="7" spans="1:14" ht="13.5" customHeight="1" x14ac:dyDescent="0.35">
      <c r="A7" s="105" t="s">
        <v>124</v>
      </c>
      <c r="B7" s="21">
        <v>-1.3839999999999999</v>
      </c>
      <c r="C7" s="21">
        <v>0.10199999999999999</v>
      </c>
      <c r="D7" s="24">
        <v>0</v>
      </c>
      <c r="L7" s="4"/>
      <c r="M7" s="4"/>
      <c r="N7" s="4"/>
    </row>
    <row r="8" spans="1:14" x14ac:dyDescent="0.35">
      <c r="A8" s="105" t="s">
        <v>129</v>
      </c>
      <c r="B8" s="21">
        <v>-0.253</v>
      </c>
      <c r="C8" s="21">
        <v>5.2999999999999999E-2</v>
      </c>
      <c r="D8" s="24">
        <v>0</v>
      </c>
      <c r="L8" s="4"/>
      <c r="M8" s="4"/>
      <c r="N8" s="4"/>
    </row>
    <row r="9" spans="1:14" x14ac:dyDescent="0.35">
      <c r="A9" s="105" t="s">
        <v>130</v>
      </c>
      <c r="B9" s="21">
        <v>0.73799999999999999</v>
      </c>
      <c r="C9" s="21">
        <v>0.10199999999999999</v>
      </c>
      <c r="D9" s="24">
        <v>0</v>
      </c>
      <c r="L9" s="4"/>
      <c r="M9" s="4"/>
      <c r="N9" s="4"/>
    </row>
    <row r="10" spans="1:14" x14ac:dyDescent="0.35">
      <c r="A10" s="105" t="s">
        <v>84</v>
      </c>
      <c r="B10" s="21">
        <v>0.34699999999999998</v>
      </c>
      <c r="C10" s="21">
        <v>0.03</v>
      </c>
      <c r="D10" s="24">
        <v>0</v>
      </c>
      <c r="L10" s="4"/>
      <c r="M10" s="4"/>
      <c r="N10" s="4"/>
    </row>
    <row r="11" spans="1:14" x14ac:dyDescent="0.35">
      <c r="A11" s="105" t="s">
        <v>85</v>
      </c>
      <c r="B11" s="21">
        <v>0.38400000000000001</v>
      </c>
      <c r="C11" s="21">
        <v>3.4000000000000002E-2</v>
      </c>
      <c r="D11" s="24">
        <v>0</v>
      </c>
      <c r="L11" s="4"/>
      <c r="M11" s="4"/>
      <c r="N11" s="4"/>
    </row>
    <row r="12" spans="1:14" ht="13.5" thickBot="1" x14ac:dyDescent="0.4">
      <c r="A12" s="106" t="s">
        <v>86</v>
      </c>
      <c r="B12" s="22">
        <v>-0.14499999999999999</v>
      </c>
      <c r="C12" s="22">
        <v>3.9E-2</v>
      </c>
      <c r="D12" s="25">
        <v>0</v>
      </c>
      <c r="L12" s="4"/>
      <c r="M12" s="4"/>
      <c r="N12" s="4"/>
    </row>
    <row r="13" spans="1:14" ht="13.5" thickTop="1" x14ac:dyDescent="0.35">
      <c r="L13" s="4"/>
      <c r="M13" s="4"/>
      <c r="N13" s="4"/>
    </row>
    <row r="14" spans="1:14" x14ac:dyDescent="0.35">
      <c r="A14" s="11"/>
      <c r="B14" s="11"/>
      <c r="C14" s="11"/>
      <c r="D14" s="11"/>
      <c r="E14" s="11"/>
      <c r="F14" s="11"/>
      <c r="G14" s="11"/>
      <c r="H14" s="11"/>
      <c r="L14" s="4"/>
      <c r="M14" s="4"/>
      <c r="N14" s="4"/>
    </row>
    <row r="15" spans="1:14" ht="13.5" thickBot="1" x14ac:dyDescent="0.4">
      <c r="L15" s="4"/>
      <c r="M15" s="4"/>
      <c r="N15" s="4"/>
    </row>
    <row r="16" spans="1:14" ht="13.5" thickTop="1" x14ac:dyDescent="0.35">
      <c r="A16" s="23" t="s">
        <v>88</v>
      </c>
      <c r="B16" s="120" t="s">
        <v>90</v>
      </c>
      <c r="C16" s="120"/>
      <c r="D16" s="120"/>
      <c r="E16" s="120" t="s">
        <v>91</v>
      </c>
      <c r="F16" s="120"/>
      <c r="G16" s="120"/>
      <c r="H16" s="120" t="s">
        <v>92</v>
      </c>
      <c r="I16" s="120"/>
      <c r="J16" s="120"/>
      <c r="L16" s="4"/>
      <c r="M16" s="4"/>
      <c r="N16" s="4"/>
    </row>
    <row r="17" spans="1:14" ht="13.5" thickBot="1" x14ac:dyDescent="0.4">
      <c r="A17" s="27" t="s">
        <v>89</v>
      </c>
      <c r="B17" s="121"/>
      <c r="C17" s="121"/>
      <c r="D17" s="121"/>
      <c r="E17" s="121"/>
      <c r="F17" s="121"/>
      <c r="G17" s="121"/>
      <c r="H17" s="121"/>
      <c r="I17" s="121"/>
      <c r="J17" s="121"/>
      <c r="L17" s="4"/>
    </row>
    <row r="18" spans="1:14" ht="16.5" thickTop="1" thickBot="1" x14ac:dyDescent="0.4">
      <c r="A18" s="29"/>
      <c r="B18" s="28" t="s">
        <v>20</v>
      </c>
      <c r="C18" s="28" t="s">
        <v>15</v>
      </c>
      <c r="D18" s="34" t="s">
        <v>99</v>
      </c>
      <c r="E18" s="28" t="s">
        <v>20</v>
      </c>
      <c r="F18" s="28" t="s">
        <v>15</v>
      </c>
      <c r="G18" s="35" t="s">
        <v>99</v>
      </c>
      <c r="H18" s="28" t="s">
        <v>20</v>
      </c>
      <c r="I18" s="28" t="s">
        <v>15</v>
      </c>
      <c r="J18" s="35" t="s">
        <v>99</v>
      </c>
      <c r="L18" s="4"/>
    </row>
    <row r="19" spans="1:14" ht="13.5" thickTop="1" x14ac:dyDescent="0.35">
      <c r="A19" s="20" t="s">
        <v>93</v>
      </c>
      <c r="B19" s="24">
        <v>-5.8999999999999997E-2</v>
      </c>
      <c r="C19" s="24">
        <v>1.7000000000000001E-2</v>
      </c>
      <c r="D19" s="24">
        <v>0</v>
      </c>
      <c r="E19" s="24">
        <v>-3.6999999999999998E-2</v>
      </c>
      <c r="F19" s="24">
        <v>2.5999999999999999E-2</v>
      </c>
      <c r="G19" s="24">
        <v>0.155</v>
      </c>
      <c r="H19" s="24">
        <v>-5.8999999999999997E-2</v>
      </c>
      <c r="I19" s="24">
        <v>2.1000000000000001E-2</v>
      </c>
      <c r="J19" s="24">
        <v>6.0000000000000001E-3</v>
      </c>
      <c r="N19" s="4"/>
    </row>
    <row r="20" spans="1:14" x14ac:dyDescent="0.35">
      <c r="A20" s="20" t="s">
        <v>94</v>
      </c>
      <c r="B20" s="24">
        <v>-7.1999999999999995E-2</v>
      </c>
      <c r="C20" s="24">
        <v>1.7999999999999999E-2</v>
      </c>
      <c r="D20" s="24">
        <v>0</v>
      </c>
      <c r="E20" s="24">
        <v>-3.4000000000000002E-2</v>
      </c>
      <c r="F20" s="24">
        <v>2.9000000000000001E-2</v>
      </c>
      <c r="G20" s="24">
        <v>0.23699999999999999</v>
      </c>
      <c r="H20" s="24">
        <v>-6.0000000000000001E-3</v>
      </c>
      <c r="I20" s="24">
        <v>2.4E-2</v>
      </c>
      <c r="J20" s="24">
        <v>0.80800000000000005</v>
      </c>
      <c r="N20" s="4"/>
    </row>
    <row r="21" spans="1:14" x14ac:dyDescent="0.35">
      <c r="A21" s="20" t="s">
        <v>95</v>
      </c>
      <c r="B21" s="24">
        <v>-5.7000000000000002E-2</v>
      </c>
      <c r="C21" s="24">
        <v>1.6E-2</v>
      </c>
      <c r="D21" s="24">
        <v>0</v>
      </c>
      <c r="E21" s="24">
        <v>3.9E-2</v>
      </c>
      <c r="F21" s="24">
        <v>2.5999999999999999E-2</v>
      </c>
      <c r="G21" s="24">
        <v>0.13600000000000001</v>
      </c>
      <c r="H21" s="24">
        <v>-0.109</v>
      </c>
      <c r="I21" s="24">
        <v>2.1999999999999999E-2</v>
      </c>
      <c r="J21" s="24">
        <v>0</v>
      </c>
      <c r="N21" s="4"/>
    </row>
    <row r="22" spans="1:14" ht="15.5" x14ac:dyDescent="0.35">
      <c r="A22" s="20" t="s">
        <v>96</v>
      </c>
      <c r="B22" s="24">
        <v>0.128</v>
      </c>
      <c r="C22" s="24">
        <v>1.7000000000000001E-2</v>
      </c>
      <c r="D22" s="24">
        <v>0</v>
      </c>
      <c r="E22" s="24">
        <v>-4.7E-2</v>
      </c>
      <c r="F22" s="24">
        <v>2.7E-2</v>
      </c>
      <c r="G22" s="24">
        <v>0</v>
      </c>
      <c r="H22" s="24">
        <v>0.114</v>
      </c>
      <c r="I22" s="24">
        <v>2.1999999999999999E-2</v>
      </c>
      <c r="J22" s="24">
        <v>0</v>
      </c>
      <c r="N22" s="4"/>
    </row>
    <row r="23" spans="1:14" ht="13.5" thickBot="1" x14ac:dyDescent="0.4">
      <c r="A23" s="26" t="s">
        <v>97</v>
      </c>
      <c r="B23" s="25">
        <v>3.1E-2</v>
      </c>
      <c r="C23" s="25">
        <v>1.6E-2</v>
      </c>
      <c r="D23" s="25">
        <v>5.8999999999999997E-2</v>
      </c>
      <c r="E23" s="25">
        <v>-5.0000000000000001E-3</v>
      </c>
      <c r="F23" s="25">
        <v>2.9000000000000001E-2</v>
      </c>
      <c r="G23" s="25">
        <v>0.85299999999999998</v>
      </c>
      <c r="H23" s="25">
        <v>-2.9000000000000001E-2</v>
      </c>
      <c r="I23" s="25">
        <v>2.1000000000000001E-2</v>
      </c>
      <c r="J23" s="25">
        <v>0.18</v>
      </c>
      <c r="N23" s="4"/>
    </row>
    <row r="24" spans="1:14" x14ac:dyDescent="0.35">
      <c r="A24" s="11"/>
      <c r="B24" s="11"/>
      <c r="C24" s="11"/>
      <c r="L24" s="4"/>
    </row>
    <row r="25" spans="1:14" ht="13.5" thickBot="1" x14ac:dyDescent="0.4">
      <c r="A25" s="38"/>
      <c r="B25" s="38"/>
      <c r="C25" s="38"/>
      <c r="D25" s="36"/>
      <c r="E25" s="36"/>
      <c r="F25" s="36"/>
      <c r="G25" s="36"/>
      <c r="L25" s="4"/>
    </row>
    <row r="26" spans="1:14" x14ac:dyDescent="0.35">
      <c r="A26" s="20" t="s">
        <v>88</v>
      </c>
      <c r="B26" s="122" t="s">
        <v>121</v>
      </c>
      <c r="C26" s="122"/>
      <c r="D26" s="122"/>
      <c r="E26" s="122" t="s">
        <v>98</v>
      </c>
      <c r="F26" s="122"/>
      <c r="G26" s="122"/>
      <c r="L26" s="4"/>
    </row>
    <row r="27" spans="1:14" ht="13.5" thickBot="1" x14ac:dyDescent="0.4">
      <c r="A27" s="26" t="s">
        <v>89</v>
      </c>
      <c r="B27" s="123"/>
      <c r="C27" s="123"/>
      <c r="D27" s="123"/>
      <c r="E27" s="123"/>
      <c r="F27" s="123"/>
      <c r="G27" s="123"/>
      <c r="L27" s="4"/>
    </row>
    <row r="28" spans="1:14" ht="16" thickBot="1" x14ac:dyDescent="0.4">
      <c r="A28" s="29"/>
      <c r="B28" s="30" t="s">
        <v>20</v>
      </c>
      <c r="C28" s="30" t="s">
        <v>15</v>
      </c>
      <c r="D28" s="32" t="s">
        <v>99</v>
      </c>
      <c r="E28" s="30" t="s">
        <v>20</v>
      </c>
      <c r="F28" s="30" t="s">
        <v>15</v>
      </c>
      <c r="G28" s="32" t="s">
        <v>99</v>
      </c>
      <c r="L28" s="4"/>
    </row>
    <row r="29" spans="1:14" ht="13.5" thickTop="1" x14ac:dyDescent="0.35">
      <c r="A29" s="20" t="s">
        <v>93</v>
      </c>
      <c r="B29" s="24">
        <v>-8.9999999999999993E-3</v>
      </c>
      <c r="C29" s="24">
        <v>3.5000000000000003E-2</v>
      </c>
      <c r="D29" s="24">
        <v>0.80900000000000005</v>
      </c>
      <c r="E29" s="24">
        <v>1.2E-2</v>
      </c>
      <c r="F29" s="24">
        <v>3.6999999999999998E-2</v>
      </c>
      <c r="G29" s="24">
        <v>0.753</v>
      </c>
      <c r="L29" s="4"/>
    </row>
    <row r="30" spans="1:14" x14ac:dyDescent="0.35">
      <c r="A30" s="20" t="s">
        <v>94</v>
      </c>
      <c r="B30" s="24">
        <v>-2.9000000000000001E-2</v>
      </c>
      <c r="C30" s="24">
        <v>3.7999999999999999E-2</v>
      </c>
      <c r="D30" s="24">
        <v>0.437</v>
      </c>
      <c r="E30" s="24">
        <v>-0.03</v>
      </c>
      <c r="F30" s="24">
        <v>3.9E-2</v>
      </c>
      <c r="G30" s="24">
        <v>0.44900000000000001</v>
      </c>
      <c r="L30" s="4"/>
    </row>
    <row r="31" spans="1:14" x14ac:dyDescent="0.35">
      <c r="A31" s="20" t="s">
        <v>95</v>
      </c>
      <c r="B31" s="24">
        <v>-0.10199999999999999</v>
      </c>
      <c r="C31" s="24">
        <v>4.3999999999999997E-2</v>
      </c>
      <c r="D31" s="24">
        <v>2.1000000000000001E-2</v>
      </c>
      <c r="E31" s="24">
        <v>0.16800000000000001</v>
      </c>
      <c r="F31" s="24">
        <v>4.3999999999999997E-2</v>
      </c>
      <c r="G31" s="24">
        <v>0</v>
      </c>
      <c r="L31" s="4"/>
    </row>
    <row r="32" spans="1:14" ht="15.5" x14ac:dyDescent="0.35">
      <c r="A32" s="20" t="s">
        <v>96</v>
      </c>
      <c r="B32" s="24">
        <v>0.11</v>
      </c>
      <c r="C32" s="24">
        <v>3.6999999999999998E-2</v>
      </c>
      <c r="D32" s="24">
        <v>3.0000000000000001E-3</v>
      </c>
      <c r="E32" s="24">
        <v>-5.6000000000000001E-2</v>
      </c>
      <c r="F32" s="24">
        <v>3.7999999999999999E-2</v>
      </c>
      <c r="G32" s="24">
        <v>0.14299999999999999</v>
      </c>
      <c r="L32" s="4"/>
    </row>
    <row r="33" spans="1:14" ht="13.5" thickBot="1" x14ac:dyDescent="0.4">
      <c r="A33" s="26" t="s">
        <v>97</v>
      </c>
      <c r="B33" s="25">
        <v>0.01</v>
      </c>
      <c r="C33" s="25">
        <v>3.5999999999999997E-2</v>
      </c>
      <c r="D33" s="25">
        <v>0.78300000000000003</v>
      </c>
      <c r="E33" s="25">
        <v>2.8000000000000001E-2</v>
      </c>
      <c r="F33" s="25">
        <v>3.6999999999999998E-2</v>
      </c>
      <c r="G33" s="25">
        <v>0.45100000000000001</v>
      </c>
      <c r="L33" s="4"/>
      <c r="M33" s="4"/>
      <c r="N33" s="4"/>
    </row>
    <row r="34" spans="1:14" ht="13.5" thickBot="1" x14ac:dyDescent="0.4">
      <c r="A34" s="26"/>
      <c r="B34" s="123" t="s">
        <v>100</v>
      </c>
      <c r="C34" s="123"/>
      <c r="D34" s="123"/>
      <c r="E34" s="123" t="s">
        <v>101</v>
      </c>
      <c r="F34" s="123"/>
      <c r="G34" s="123"/>
      <c r="L34" s="4"/>
      <c r="M34" s="4"/>
      <c r="N34" s="4"/>
    </row>
    <row r="35" spans="1:14" ht="14" thickBot="1" x14ac:dyDescent="0.4">
      <c r="A35" s="20"/>
      <c r="B35" s="31" t="s">
        <v>20</v>
      </c>
      <c r="C35" s="31" t="s">
        <v>15</v>
      </c>
      <c r="D35" s="33" t="s">
        <v>99</v>
      </c>
      <c r="E35" s="31" t="s">
        <v>20</v>
      </c>
      <c r="F35" s="31" t="s">
        <v>15</v>
      </c>
      <c r="G35" s="33" t="s">
        <v>99</v>
      </c>
      <c r="L35" s="4"/>
      <c r="M35" s="4"/>
      <c r="N35" s="4"/>
    </row>
    <row r="36" spans="1:14" ht="13.5" thickTop="1" x14ac:dyDescent="0.35">
      <c r="A36" s="20" t="s">
        <v>93</v>
      </c>
      <c r="B36" s="24">
        <v>-6.0000000000000001E-3</v>
      </c>
      <c r="C36" s="24">
        <v>2.9000000000000001E-2</v>
      </c>
      <c r="D36" s="24">
        <v>0.83599999999999997</v>
      </c>
      <c r="E36" s="24">
        <v>-2.1999999999999999E-2</v>
      </c>
      <c r="F36" s="24">
        <v>5.3999999999999999E-2</v>
      </c>
      <c r="G36" s="24">
        <v>0.68600000000000005</v>
      </c>
      <c r="L36" s="4"/>
    </row>
    <row r="37" spans="1:14" x14ac:dyDescent="0.35">
      <c r="A37" s="20" t="s">
        <v>94</v>
      </c>
      <c r="B37" s="24">
        <v>-0.05</v>
      </c>
      <c r="C37" s="24">
        <v>3.2000000000000001E-2</v>
      </c>
      <c r="D37" s="24">
        <v>0.11600000000000001</v>
      </c>
      <c r="E37" s="24">
        <v>-0.19400000000000001</v>
      </c>
      <c r="F37" s="24">
        <v>6.5000000000000002E-2</v>
      </c>
      <c r="G37" s="24">
        <v>3.0000000000000001E-3</v>
      </c>
      <c r="L37" s="4"/>
    </row>
    <row r="38" spans="1:14" x14ac:dyDescent="0.35">
      <c r="A38" s="20" t="s">
        <v>95</v>
      </c>
      <c r="B38" s="24">
        <v>-0.05</v>
      </c>
      <c r="C38" s="24">
        <v>2.9000000000000001E-2</v>
      </c>
      <c r="D38" s="24">
        <v>8.4000000000000005E-2</v>
      </c>
      <c r="E38" s="24">
        <v>-7.8E-2</v>
      </c>
      <c r="F38" s="24">
        <v>6.2E-2</v>
      </c>
      <c r="G38" s="24">
        <v>0.214</v>
      </c>
      <c r="L38" s="4"/>
    </row>
    <row r="39" spans="1:14" ht="15.5" x14ac:dyDescent="0.35">
      <c r="A39" s="20" t="s">
        <v>96</v>
      </c>
      <c r="B39" s="24">
        <v>-1.0999999999999999E-2</v>
      </c>
      <c r="C39" s="24">
        <v>3.1E-2</v>
      </c>
      <c r="D39" s="24">
        <v>0.73099999999999998</v>
      </c>
      <c r="E39" s="24">
        <v>0.23100000000000001</v>
      </c>
      <c r="F39" s="24">
        <v>5.8000000000000003E-2</v>
      </c>
      <c r="G39" s="24">
        <v>0</v>
      </c>
      <c r="L39" s="4"/>
    </row>
    <row r="40" spans="1:14" ht="13.5" thickBot="1" x14ac:dyDescent="0.4">
      <c r="A40" s="26" t="s">
        <v>97</v>
      </c>
      <c r="B40" s="25">
        <v>0.09</v>
      </c>
      <c r="C40" s="25">
        <v>3.1E-2</v>
      </c>
      <c r="D40" s="25">
        <v>3.0000000000000001E-3</v>
      </c>
      <c r="E40" s="25">
        <v>-1.4999999999999999E-2</v>
      </c>
      <c r="F40" s="25">
        <v>5.0999999999999997E-2</v>
      </c>
      <c r="G40" s="25">
        <v>0.76300000000000001</v>
      </c>
      <c r="L40" s="4"/>
      <c r="N40" s="4"/>
    </row>
    <row r="41" spans="1:14" x14ac:dyDescent="0.35">
      <c r="L41" s="4"/>
      <c r="N41" s="4"/>
    </row>
    <row r="42" spans="1:14" x14ac:dyDescent="0.35">
      <c r="L42" s="4"/>
      <c r="N42" s="4"/>
    </row>
    <row r="43" spans="1:14" x14ac:dyDescent="0.35">
      <c r="J43" s="11"/>
      <c r="K43" s="11"/>
      <c r="L43" s="4"/>
      <c r="M43" s="4"/>
      <c r="N43" s="4"/>
    </row>
    <row r="44" spans="1:14" x14ac:dyDescent="0.35">
      <c r="J44" s="11"/>
      <c r="K44" s="11"/>
      <c r="L44" s="4"/>
      <c r="M44" s="4"/>
      <c r="N44" s="4"/>
    </row>
    <row r="45" spans="1:14" x14ac:dyDescent="0.35">
      <c r="J45" s="11"/>
      <c r="K45" s="11"/>
      <c r="L45" s="4"/>
      <c r="M45" s="4"/>
      <c r="N45" s="4"/>
    </row>
    <row r="46" spans="1:14" x14ac:dyDescent="0.35">
      <c r="J46" s="11"/>
      <c r="K46" s="11"/>
      <c r="L46" s="4"/>
      <c r="M46" s="4"/>
      <c r="N46" s="4"/>
    </row>
    <row r="47" spans="1:14" x14ac:dyDescent="0.35">
      <c r="K47" s="11"/>
      <c r="L47" s="4"/>
      <c r="M47" s="4"/>
      <c r="N47" s="4"/>
    </row>
    <row r="48" spans="1:14" x14ac:dyDescent="0.35">
      <c r="K48" s="11"/>
      <c r="L48" s="4"/>
      <c r="M48" s="4"/>
      <c r="N48" s="4"/>
    </row>
    <row r="49" spans="11:14" x14ac:dyDescent="0.35">
      <c r="K49" s="11"/>
      <c r="L49" s="4"/>
      <c r="M49" s="4"/>
      <c r="N49" s="4"/>
    </row>
    <row r="50" spans="11:14" x14ac:dyDescent="0.35">
      <c r="K50" s="11"/>
      <c r="L50" s="4"/>
      <c r="M50" s="4"/>
      <c r="N50" s="4"/>
    </row>
    <row r="51" spans="11:14" x14ac:dyDescent="0.35">
      <c r="K51" s="11"/>
      <c r="L51" s="4"/>
      <c r="M51" s="4"/>
      <c r="N51" s="4"/>
    </row>
    <row r="52" spans="11:14" x14ac:dyDescent="0.35">
      <c r="K52" s="11"/>
      <c r="M52" s="4"/>
      <c r="N52" s="4"/>
    </row>
    <row r="53" spans="11:14" x14ac:dyDescent="0.35">
      <c r="N53" s="4"/>
    </row>
    <row r="54" spans="11:14" x14ac:dyDescent="0.35">
      <c r="N54" s="4"/>
    </row>
    <row r="55" spans="11:14" x14ac:dyDescent="0.35">
      <c r="N55" s="4"/>
    </row>
    <row r="56" spans="11:14" x14ac:dyDescent="0.35">
      <c r="N56" s="4"/>
    </row>
    <row r="57" spans="11:14" x14ac:dyDescent="0.35">
      <c r="N57" s="4"/>
    </row>
  </sheetData>
  <mergeCells count="7">
    <mergeCell ref="H16:J17"/>
    <mergeCell ref="B26:D27"/>
    <mergeCell ref="E26:G27"/>
    <mergeCell ref="B34:D34"/>
    <mergeCell ref="E34:G34"/>
    <mergeCell ref="B16:D17"/>
    <mergeCell ref="E16:G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E7EB-BEE1-44D5-A18A-D26602CD6FC5}">
  <dimension ref="B2:F18"/>
  <sheetViews>
    <sheetView topLeftCell="C1" workbookViewId="0">
      <selection activeCell="C16" sqref="C16:F18"/>
    </sheetView>
  </sheetViews>
  <sheetFormatPr defaultRowHeight="14.5" x14ac:dyDescent="0.35"/>
  <cols>
    <col min="2" max="2" width="8.81640625" bestFit="1" customWidth="1"/>
    <col min="3" max="3" width="44.81640625" bestFit="1" customWidth="1"/>
    <col min="4" max="4" width="8" bestFit="1" customWidth="1"/>
    <col min="5" max="5" width="5.36328125" bestFit="1" customWidth="1"/>
    <col min="6" max="6" width="16.81640625" bestFit="1" customWidth="1"/>
  </cols>
  <sheetData>
    <row r="2" spans="2:6" ht="16" thickBot="1" x14ac:dyDescent="0.4">
      <c r="B2" s="42"/>
      <c r="C2" s="47"/>
      <c r="D2" s="47"/>
      <c r="E2" s="47"/>
      <c r="F2" s="47"/>
    </row>
    <row r="3" spans="2:6" ht="15" thickBot="1" x14ac:dyDescent="0.4">
      <c r="C3" s="45" t="s">
        <v>26</v>
      </c>
      <c r="D3" s="45" t="s">
        <v>23</v>
      </c>
      <c r="E3" s="45" t="s">
        <v>15</v>
      </c>
      <c r="F3" s="46" t="s">
        <v>25</v>
      </c>
    </row>
    <row r="4" spans="2:6" x14ac:dyDescent="0.35">
      <c r="B4" s="41"/>
      <c r="C4" s="37" t="s">
        <v>121</v>
      </c>
      <c r="D4" s="19">
        <v>0.96699999999999997</v>
      </c>
      <c r="E4" s="19">
        <v>4.9000000000000002E-2</v>
      </c>
      <c r="F4" s="19">
        <v>0</v>
      </c>
    </row>
    <row r="5" spans="2:6" x14ac:dyDescent="0.35">
      <c r="B5" s="41"/>
      <c r="C5" s="37" t="s">
        <v>98</v>
      </c>
      <c r="D5" s="19">
        <v>3.5000000000000003E-2</v>
      </c>
      <c r="E5" s="19">
        <v>1.6E-2</v>
      </c>
      <c r="F5" s="19">
        <v>0.03</v>
      </c>
    </row>
    <row r="6" spans="2:6" x14ac:dyDescent="0.35">
      <c r="B6" s="41"/>
      <c r="C6" s="39" t="s">
        <v>102</v>
      </c>
      <c r="D6" s="19">
        <v>0.80300000000000005</v>
      </c>
      <c r="E6" s="19">
        <v>3.9E-2</v>
      </c>
      <c r="F6" s="19">
        <v>0</v>
      </c>
    </row>
    <row r="7" spans="2:6" x14ac:dyDescent="0.35">
      <c r="B7" s="41"/>
      <c r="C7" s="39" t="s">
        <v>103</v>
      </c>
      <c r="D7" s="19">
        <v>0.96099999999999997</v>
      </c>
      <c r="E7" s="19">
        <v>4.7E-2</v>
      </c>
      <c r="F7" s="19">
        <v>0</v>
      </c>
    </row>
    <row r="8" spans="2:6" x14ac:dyDescent="0.35">
      <c r="B8" s="41"/>
      <c r="C8" s="39" t="s">
        <v>104</v>
      </c>
      <c r="D8" s="19">
        <v>0.94699999999999995</v>
      </c>
      <c r="E8" s="19">
        <v>1.2999999999999999E-2</v>
      </c>
      <c r="F8" s="19">
        <v>0</v>
      </c>
    </row>
    <row r="9" spans="2:6" x14ac:dyDescent="0.35">
      <c r="B9" s="41"/>
      <c r="C9" s="39" t="s">
        <v>105</v>
      </c>
      <c r="D9" s="19">
        <v>0.70399999999999996</v>
      </c>
      <c r="E9" s="19">
        <v>1.2E-2</v>
      </c>
      <c r="F9" s="19">
        <v>0</v>
      </c>
    </row>
    <row r="10" spans="2:6" x14ac:dyDescent="0.35">
      <c r="B10" s="41"/>
      <c r="C10" s="39" t="s">
        <v>106</v>
      </c>
      <c r="D10" s="19">
        <v>0.81699999999999995</v>
      </c>
      <c r="E10" s="19">
        <v>1.2999999999999999E-2</v>
      </c>
      <c r="F10" s="19">
        <v>0</v>
      </c>
    </row>
    <row r="11" spans="2:6" x14ac:dyDescent="0.35">
      <c r="B11" s="41"/>
      <c r="C11" s="39" t="s">
        <v>101</v>
      </c>
      <c r="D11" s="19">
        <v>0.83699999999999997</v>
      </c>
      <c r="E11" s="19">
        <v>0.09</v>
      </c>
      <c r="F11" s="19">
        <v>0</v>
      </c>
    </row>
    <row r="12" spans="2:6" x14ac:dyDescent="0.35">
      <c r="B12" s="41"/>
      <c r="C12" s="39" t="s">
        <v>122</v>
      </c>
      <c r="D12" s="19">
        <v>0.94</v>
      </c>
      <c r="E12" s="19">
        <v>6.7000000000000004E-2</v>
      </c>
      <c r="F12" s="19">
        <v>0</v>
      </c>
    </row>
    <row r="13" spans="2:6" x14ac:dyDescent="0.35">
      <c r="B13" s="41"/>
      <c r="C13" s="39" t="s">
        <v>123</v>
      </c>
      <c r="D13" s="19">
        <v>0.65600000000000003</v>
      </c>
      <c r="E13" s="19">
        <v>0.05</v>
      </c>
      <c r="F13" s="19">
        <v>0</v>
      </c>
    </row>
    <row r="14" spans="2:6" ht="15" thickBot="1" x14ac:dyDescent="0.4">
      <c r="B14" s="41"/>
      <c r="C14" s="43" t="s">
        <v>100</v>
      </c>
      <c r="D14" s="44">
        <v>1.2999999999999999E-2</v>
      </c>
      <c r="E14" s="44">
        <v>7.0000000000000001E-3</v>
      </c>
      <c r="F14" s="44">
        <v>5.0999999999999997E-2</v>
      </c>
    </row>
    <row r="15" spans="2:6" ht="15" thickBot="1" x14ac:dyDescent="0.4">
      <c r="B15" s="10"/>
      <c r="C15" s="43" t="s">
        <v>24</v>
      </c>
      <c r="D15" s="45" t="s">
        <v>23</v>
      </c>
      <c r="E15" s="45" t="s">
        <v>15</v>
      </c>
      <c r="F15" s="46" t="s">
        <v>25</v>
      </c>
    </row>
    <row r="16" spans="2:6" x14ac:dyDescent="0.35">
      <c r="B16" s="41"/>
      <c r="C16" s="39" t="s">
        <v>90</v>
      </c>
      <c r="D16" s="19">
        <v>0.156</v>
      </c>
      <c r="E16" s="19">
        <v>2.1000000000000001E-2</v>
      </c>
      <c r="F16" s="19">
        <v>0</v>
      </c>
    </row>
    <row r="17" spans="2:6" x14ac:dyDescent="0.35">
      <c r="B17" s="41"/>
      <c r="C17" s="39" t="s">
        <v>91</v>
      </c>
      <c r="D17" s="19">
        <v>0.154</v>
      </c>
      <c r="E17" s="19">
        <v>2.5999999999999999E-2</v>
      </c>
      <c r="F17" s="19">
        <v>0</v>
      </c>
    </row>
    <row r="18" spans="2:6" ht="15" thickBot="1" x14ac:dyDescent="0.4">
      <c r="B18" s="41"/>
      <c r="C18" s="43" t="s">
        <v>92</v>
      </c>
      <c r="D18" s="44">
        <v>0.05</v>
      </c>
      <c r="E18" s="44">
        <v>1.4E-2</v>
      </c>
      <c r="F18" s="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Descriptive Statistics</vt:lpstr>
      <vt:lpstr>Model Fit Indices</vt:lpstr>
      <vt:lpstr>Factor Loadings</vt:lpstr>
      <vt:lpstr>Paths</vt:lpstr>
      <vt:lpstr>R-Square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Myesha Iqbal</cp:lastModifiedBy>
  <dcterms:created xsi:type="dcterms:W3CDTF">2015-06-05T18:17:20Z</dcterms:created>
  <dcterms:modified xsi:type="dcterms:W3CDTF">2025-07-30T18:14:08Z</dcterms:modified>
</cp:coreProperties>
</file>